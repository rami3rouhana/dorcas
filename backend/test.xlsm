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08" yWindow="-108" windowWidth="23148" windowHeight="9744"/>
  </bookViews>
  <sheets>
    <sheet name="Sheet1" sheetId="1" r:id="rId1"/>
  </sheets>
  <definedNames>
    <definedName name="_xlnm.Print_Area" localSheetId="0">Sheet1!$A$1:$G$46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" l="1"/>
  <c r="K9" i="1"/>
  <c r="N28" i="1" l="1"/>
  <c r="N29" i="1"/>
  <c r="N27" i="1"/>
  <c r="D10" i="1"/>
  <c r="O10" i="1" s="1"/>
  <c r="N10" i="1" l="1"/>
  <c r="K5" i="1"/>
  <c r="D27" i="1" l="1"/>
  <c r="O27" i="1" s="1"/>
  <c r="A43" i="1" l="1"/>
  <c r="D7" i="1" l="1"/>
  <c r="D8" i="1"/>
  <c r="D9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8" i="1"/>
  <c r="O28" i="1" s="1"/>
  <c r="D29" i="1"/>
  <c r="O29" i="1" s="1"/>
  <c r="O18" i="1" l="1"/>
  <c r="N18" i="1"/>
  <c r="O17" i="1"/>
  <c r="N17" i="1"/>
  <c r="O16" i="1"/>
  <c r="N16" i="1"/>
  <c r="O24" i="1"/>
  <c r="N24" i="1"/>
  <c r="O15" i="1"/>
  <c r="N15" i="1"/>
  <c r="O19" i="1"/>
  <c r="N19" i="1"/>
  <c r="O26" i="1"/>
  <c r="N26" i="1"/>
  <c r="O14" i="1"/>
  <c r="N14" i="1"/>
  <c r="O25" i="1"/>
  <c r="N25" i="1"/>
  <c r="O13" i="1"/>
  <c r="N13" i="1"/>
  <c r="O12" i="1"/>
  <c r="N12" i="1"/>
  <c r="O23" i="1"/>
  <c r="N23" i="1"/>
  <c r="O11" i="1"/>
  <c r="N11" i="1"/>
  <c r="O22" i="1"/>
  <c r="N22" i="1"/>
  <c r="O21" i="1"/>
  <c r="N21" i="1"/>
  <c r="O8" i="1"/>
  <c r="N8" i="1"/>
  <c r="O9" i="1"/>
  <c r="N9" i="1"/>
  <c r="O20" i="1"/>
  <c r="N20" i="1"/>
  <c r="O7" i="1"/>
  <c r="N7" i="1"/>
  <c r="C38" i="1" s="1"/>
  <c r="C42" i="1" s="1"/>
  <c r="A38" i="1"/>
  <c r="C39" i="1" l="1"/>
  <c r="A42" i="1"/>
  <c r="A41" i="1"/>
  <c r="A40" i="1"/>
  <c r="A39" i="1" l="1"/>
  <c r="A37" i="1" l="1"/>
  <c r="C37" i="1" l="1"/>
  <c r="C43" i="1" l="1"/>
  <c r="J17" i="1"/>
  <c r="K17" i="1" s="1"/>
  <c r="J25" i="1"/>
  <c r="K25" i="1" s="1"/>
  <c r="J10" i="1"/>
  <c r="K10" i="1" s="1"/>
  <c r="J18" i="1"/>
  <c r="K18" i="1" s="1"/>
  <c r="J26" i="1"/>
  <c r="K26" i="1" s="1"/>
  <c r="J11" i="1"/>
  <c r="K11" i="1" s="1"/>
  <c r="J19" i="1"/>
  <c r="K19" i="1" s="1"/>
  <c r="J27" i="1"/>
  <c r="K27" i="1" s="1"/>
  <c r="J14" i="1"/>
  <c r="K14" i="1" s="1"/>
  <c r="J21" i="1"/>
  <c r="K21" i="1" s="1"/>
  <c r="J22" i="1"/>
  <c r="K22" i="1" s="1"/>
  <c r="J12" i="1"/>
  <c r="K12" i="1" s="1"/>
  <c r="J20" i="1"/>
  <c r="K20" i="1" s="1"/>
  <c r="J28" i="1"/>
  <c r="K28" i="1" s="1"/>
  <c r="J13" i="1"/>
  <c r="K13" i="1" s="1"/>
  <c r="J29" i="1"/>
  <c r="K29" i="1" s="1"/>
  <c r="J7" i="1"/>
  <c r="K7" i="1" s="1"/>
  <c r="J15" i="1"/>
  <c r="K15" i="1" s="1"/>
  <c r="J23" i="1"/>
  <c r="K23" i="1" s="1"/>
  <c r="J8" i="1"/>
  <c r="K8" i="1" s="1"/>
  <c r="J16" i="1"/>
  <c r="K16" i="1" s="1"/>
  <c r="J24" i="1"/>
  <c r="K24" i="1" s="1"/>
</calcChain>
</file>

<file path=xl/sharedStrings.xml><?xml version="1.0" encoding="utf-8"?>
<sst xmlns="http://schemas.openxmlformats.org/spreadsheetml/2006/main" count="94" uniqueCount="77">
  <si>
    <t>Monthly Time Sheet</t>
  </si>
  <si>
    <t>Tabitha Lebanon</t>
  </si>
  <si>
    <t>Date</t>
  </si>
  <si>
    <t>Start Time</t>
  </si>
  <si>
    <t>End Time</t>
  </si>
  <si>
    <t>Diff (hours)</t>
  </si>
  <si>
    <t>Project</t>
  </si>
  <si>
    <t>Project #</t>
  </si>
  <si>
    <t>%</t>
  </si>
  <si>
    <t>Hours</t>
  </si>
  <si>
    <t>Project allocated hours</t>
  </si>
  <si>
    <t xml:space="preserve">Total </t>
  </si>
  <si>
    <t>Total days</t>
  </si>
  <si>
    <t>Sick day(s)</t>
  </si>
  <si>
    <t>Working days</t>
  </si>
  <si>
    <t>Holiday(s)</t>
  </si>
  <si>
    <t>OFF(s)</t>
  </si>
  <si>
    <t>Training</t>
  </si>
  <si>
    <t>Seminar</t>
  </si>
  <si>
    <t>Expected Hours</t>
  </si>
  <si>
    <t>Funerals</t>
  </si>
  <si>
    <t>Diffrence /month</t>
  </si>
  <si>
    <t>Employee Signature</t>
  </si>
  <si>
    <t>Director Signature</t>
  </si>
  <si>
    <t xml:space="preserve">Total %: </t>
  </si>
  <si>
    <t>March 2023</t>
  </si>
  <si>
    <t>OFF</t>
  </si>
  <si>
    <t>Elie Majdalani</t>
  </si>
  <si>
    <t>IT Officer</t>
  </si>
  <si>
    <t>09:18:00</t>
  </si>
  <si>
    <t>18:35:00</t>
  </si>
  <si>
    <t>09:25:00</t>
  </si>
  <si>
    <t>17:21:00</t>
  </si>
  <si>
    <t>09:19:00</t>
  </si>
  <si>
    <t>17:02:00</t>
  </si>
  <si>
    <t>09:16:00</t>
  </si>
  <si>
    <t>17:20:00</t>
  </si>
  <si>
    <t>17:07:00</t>
  </si>
  <si>
    <t>09:15:00</t>
  </si>
  <si>
    <t>17:05:00</t>
  </si>
  <si>
    <t>08:50:00</t>
  </si>
  <si>
    <t>17:10:00</t>
  </si>
  <si>
    <t>08:56:00</t>
  </si>
  <si>
    <t>17:09:00</t>
  </si>
  <si>
    <t>09:23:00</t>
  </si>
  <si>
    <t>17:42:00</t>
  </si>
  <si>
    <t>09:07:00</t>
  </si>
  <si>
    <t>17:17:00</t>
  </si>
  <si>
    <t>17:28:00</t>
  </si>
  <si>
    <t>09:11:00</t>
  </si>
  <si>
    <t>17:14:00</t>
  </si>
  <si>
    <t>16:59:00</t>
  </si>
  <si>
    <t>17:27:00</t>
  </si>
  <si>
    <t>09:31:00</t>
  </si>
  <si>
    <t>17:26:00</t>
  </si>
  <si>
    <t>09:06:00</t>
  </si>
  <si>
    <t>17:49:00</t>
  </si>
  <si>
    <t>09:40:00</t>
  </si>
  <si>
    <t>17:03:00</t>
  </si>
  <si>
    <t>17:19:00</t>
  </si>
  <si>
    <t>Transportation</t>
  </si>
  <si>
    <t>Transportion</t>
  </si>
  <si>
    <t>Weekdays</t>
  </si>
  <si>
    <t>6228(9.3)</t>
  </si>
  <si>
    <t>6228(8.0)</t>
  </si>
  <si>
    <t>6228(7.8)</t>
  </si>
  <si>
    <t>6228(8.1)</t>
  </si>
  <si>
    <t>6228(7.9)</t>
  </si>
  <si>
    <t>6228(8.4)</t>
  </si>
  <si>
    <t>1234(8.2)</t>
  </si>
  <si>
    <t>1234(8.1)</t>
  </si>
  <si>
    <t>1234(7.8)</t>
  </si>
  <si>
    <t>1234(8.0)</t>
  </si>
  <si>
    <t>1234(8.8)</t>
  </si>
  <si>
    <t>1234(7.4)</t>
  </si>
  <si>
    <t>1234(2.1)</t>
  </si>
  <si>
    <t>6228(3.6)|1234(4.8)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</si>
</sst>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9DE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17" fontId="4" fillId="0" borderId="0" xfId="0" applyNumberFormat="1" applyFont="1" applyAlignment="1">
      <alignment horizontal="right" vertical="center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10" fontId="3" fillId="2" borderId="0" xfId="0" applyNumberFormat="1" applyFont="1" applyFill="1"/>
    <xf numFmtId="14" fontId="3" fillId="0" borderId="0" xfId="0" applyNumberFormat="1" applyFont="1" applyAlignment="1">
      <alignment horizontal="center"/>
    </xf>
    <xf numFmtId="20" fontId="3" fillId="0" borderId="0" xfId="0" applyNumberFormat="1" applyFont="1"/>
    <xf numFmtId="2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0" fontId="3" fillId="0" borderId="0" xfId="0" applyNumberFormat="1" applyFont="1"/>
    <xf numFmtId="0" fontId="5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right"/>
    </xf>
    <xf numFmtId="0" fontId="5" fillId="0" borderId="2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2" xfId="0" applyFont="1" applyBorder="1"/>
    <xf numFmtId="0" fontId="7" fillId="0" borderId="4" xfId="0" applyFont="1" applyBorder="1" applyAlignment="1">
      <alignment horizontal="right"/>
    </xf>
    <xf numFmtId="0" fontId="7" fillId="0" borderId="5" xfId="0" applyFont="1" applyBorder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3" xfId="0" applyFont="1" applyBorder="1" applyAlignment="1">
      <alignment horizontal="center"/>
    </xf>
    <xf numFmtId="10" fontId="7" fillId="0" borderId="0" xfId="0" applyNumberFormat="1" applyFont="1"/>
    <xf numFmtId="0" fontId="2" fillId="2" borderId="0" xfId="0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17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right"/>
    </xf>
    <xf numFmtId="0" fontId="0" fillId="0" borderId="6" xfId="0" applyBorder="1" applyAlignment="1">
      <alignment horizontal="right"/>
    </xf>
    <xf numFmtId="0" fontId="5" fillId="0" borderId="6" xfId="0" applyFont="1" applyBorder="1" applyAlignment="1">
      <alignment horizontal="center"/>
    </xf>
    <xf numFmtId="2" fontId="0" fillId="0" borderId="6" xfId="0" applyNumberFormat="1" applyBorder="1" applyAlignment="1">
      <alignment horizontal="right"/>
    </xf>
    <xf numFmtId="0" fontId="9" fillId="2" borderId="7" xfId="0" applyFont="1" applyFill="1" applyBorder="1" applyAlignment="1">
      <alignment horizontal="center"/>
    </xf>
    <xf numFmtId="2" fontId="3" fillId="0" borderId="0" xfId="0" applyNumberFormat="1" applyFont="1"/>
    <xf numFmtId="10" fontId="9" fillId="2" borderId="7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0" fontId="3" fillId="0" borderId="0" xfId="1" applyNumberFormat="1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0" fontId="9" fillId="2" borderId="0" xfId="1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49" fontId="8" fillId="2" borderId="0" xfId="0" applyNumberFormat="1" applyFont="1" applyFill="1" applyAlignment="1">
      <alignment horizontal="center" vertical="center" wrapText="1"/>
    </xf>
    <xf numFmtId="17" fontId="8" fillId="2" borderId="0" xfId="0" applyNumberFormat="1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left"/>
    </xf>
    <xf numFmtId="9" fontId="8" fillId="0" borderId="0" xfId="1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/>
    </xf>
    <xf numFmtId="0" fontId="9" fillId="2" borderId="8" xfId="0" applyFont="1" applyFill="1" applyBorder="1"/>
    <xf numFmtId="0" fontId="3" fillId="0" borderId="8" xfId="0" applyFont="1" applyBorder="1"/>
    <xf numFmtId="0" fontId="0" fillId="0" borderId="8" xfId="0" applyBorder="1"/>
    <xf numFmtId="49" fontId="8" fillId="0" borderId="0" xfId="0" applyNumberFormat="1" applyFont="1" applyAlignment="1">
      <alignment horizontal="center" vertical="center" wrapText="1"/>
    </xf>
    <xf numFmtId="10" fontId="9" fillId="0" borderId="0" xfId="1" applyNumberFormat="1" applyFont="1" applyFill="1" applyAlignment="1">
      <alignment horizontal="center" vertical="center"/>
    </xf>
    <xf numFmtId="164" fontId="7" fillId="0" borderId="6" xfId="0" applyNumberFormat="1" applyFont="1" applyBorder="1" applyAlignment="1">
      <alignment horizontal="right"/>
    </xf>
    <xf numFmtId="10" fontId="3" fillId="0" borderId="0" xfId="1" applyNumberFormat="1" applyFont="1" applyAlignment="1">
      <alignment horizontal="center"/>
    </xf>
    <xf numFmtId="49" fontId="7" fillId="0" borderId="9" xfId="0" applyNumberFormat="1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0" fontId="3" fillId="0" borderId="0" xfId="0" applyNumberFormat="1" applyFont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10" fontId="3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9DE0"/>
        </patternFill>
      </fill>
    </dxf>
  </dxfs>
  <tableStyles count="0" defaultTableStyle="TableStyleMedium2" defaultPivotStyle="PivotStyleLight16"/>
  <colors>
    <mruColors>
      <color rgb="FF009DE0"/>
      <color rgb="FF0079E0"/>
      <color rgb="FF5497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45720</xdr:rowOff>
    </xdr:from>
    <xdr:to>
      <xdr:col>2</xdr:col>
      <xdr:colOff>118111</xdr:colOff>
      <xdr:row>2</xdr:row>
      <xdr:rowOff>166391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655" b="9655"/>
        <a:stretch/>
      </xdr:blipFill>
      <xdr:spPr>
        <a:xfrm>
          <a:off x="304800" y="45720"/>
          <a:ext cx="1847851" cy="745511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</xdr:row>
          <xdr:rowOff>121920</xdr:rowOff>
        </xdr:from>
        <xdr:to>
          <xdr:col>12</xdr:col>
          <xdr:colOff>1028700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6:E29" totalsRowShown="0" headerRowDxfId="5">
  <autoFilter ref="A6:E29"/>
  <tableColumns count="5">
    <tableColumn id="1" name="Date" dataDxfId="4"/>
    <tableColumn id="2" name="Start Time" dataDxfId="3"/>
    <tableColumn id="3" name="End Time" dataDxfId="2"/>
    <tableColumn id="4" name="Diff (hours)" dataDxfId="1">
      <calculatedColumnFormula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calculatedColumnFormula>
    </tableColumn>
    <tableColumn id="5" name="Project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8"/>
  <sheetViews>
    <sheetView tabSelected="1" zoomScale="85" zoomScaleNormal="85" workbookViewId="0">
      <selection activeCell="C30" sqref="C30"/>
    </sheetView>
  </sheetViews>
  <sheetFormatPr defaultColWidth="8.88671875" defaultRowHeight="14.4" x14ac:dyDescent="0.3"/>
  <cols>
    <col min="1" max="1" width="18" style="11" bestFit="1" customWidth="1"/>
    <col min="2" max="2" width="11.6640625" style="1" bestFit="1" customWidth="1"/>
    <col min="3" max="3" width="26.33203125" style="11" customWidth="1"/>
    <col min="4" max="4" width="18.33203125" style="11" bestFit="1" customWidth="1"/>
    <col min="5" max="5" width="55.77734375" style="12" customWidth="1"/>
    <col min="6" max="6" width="13.5546875" style="12" customWidth="1"/>
    <col min="7" max="7" width="13.77734375" style="12" customWidth="1"/>
    <col min="8" max="8" width="13.77734375" style="58" customWidth="1"/>
    <col min="9" max="9" width="20.77734375" style="1" customWidth="1"/>
    <col min="10" max="10" width="8.109375" style="1" bestFit="1" customWidth="1"/>
    <col min="11" max="13" width="20.5546875" style="1" bestFit="1" customWidth="1"/>
    <col min="14" max="14" width="9.77734375" style="1" customWidth="1"/>
    <col min="15" max="15" width="14.109375" style="1" bestFit="1" customWidth="1"/>
    <col min="16" max="16384" width="8.88671875" style="1"/>
  </cols>
  <sheetData>
    <row r="1" spans="1:15" ht="24.75" customHeight="1" x14ac:dyDescent="0.3">
      <c r="A1" s="63"/>
      <c r="B1" s="63"/>
      <c r="C1" s="26" t="s">
        <v>0</v>
      </c>
      <c r="D1" s="42"/>
      <c r="E1" s="43"/>
      <c r="F1" s="52"/>
      <c r="G1" s="1"/>
      <c r="H1" s="38"/>
    </row>
    <row r="2" spans="1:15" ht="24.75" customHeight="1" x14ac:dyDescent="0.3">
      <c r="A2" s="63"/>
      <c r="B2" s="63"/>
      <c r="C2" s="27" t="s">
        <v>25</v>
      </c>
      <c r="D2" s="40"/>
      <c r="E2" s="41"/>
      <c r="F2" s="53"/>
      <c r="G2" s="1"/>
      <c r="H2" s="38"/>
    </row>
    <row r="3" spans="1:15" ht="24.75" customHeight="1" x14ac:dyDescent="0.3">
      <c r="A3" s="63"/>
      <c r="B3" s="63"/>
      <c r="C3" s="28" t="s">
        <v>27</v>
      </c>
      <c r="D3" s="44"/>
      <c r="E3" s="45"/>
      <c r="F3" s="47"/>
      <c r="G3" s="1"/>
      <c r="H3" s="38"/>
    </row>
    <row r="4" spans="1:15" ht="24.75" customHeight="1" x14ac:dyDescent="0.35">
      <c r="A4" s="64" t="s">
        <v>1</v>
      </c>
      <c r="B4" s="64"/>
      <c r="C4" s="28" t="s">
        <v>28</v>
      </c>
      <c r="D4" s="44"/>
      <c r="E4" s="45"/>
      <c r="F4" s="47"/>
      <c r="G4" s="1"/>
      <c r="H4" s="38"/>
    </row>
    <row r="5" spans="1:15" ht="14.25" customHeight="1" x14ac:dyDescent="0.35">
      <c r="A5" s="2"/>
      <c r="B5" s="2"/>
      <c r="C5" s="3"/>
      <c r="D5" s="3"/>
      <c r="E5" s="62"/>
      <c r="F5" s="62"/>
      <c r="G5" s="62"/>
      <c r="J5" s="35" t="s">
        <v>24</v>
      </c>
      <c r="K5" s="37">
        <f>SUM(I7:I29)</f>
        <v>1.8</v>
      </c>
    </row>
    <row r="6" spans="1:15" x14ac:dyDescent="0.3">
      <c r="A6" s="4" t="s">
        <v>2</v>
      </c>
      <c r="B6" s="5" t="s">
        <v>3</v>
      </c>
      <c r="C6" s="6" t="s">
        <v>4</v>
      </c>
      <c r="D6" s="29" t="s">
        <v>5</v>
      </c>
      <c r="E6" s="7" t="s">
        <v>6</v>
      </c>
      <c r="G6"/>
      <c r="H6" s="59" t="s">
        <v>7</v>
      </c>
      <c r="I6" s="35" t="s">
        <v>8</v>
      </c>
      <c r="J6" s="35" t="s">
        <v>9</v>
      </c>
      <c r="K6" s="35" t="s">
        <v>10</v>
      </c>
      <c r="N6" s="48" t="s">
        <v>62</v>
      </c>
      <c r="O6" s="49" t="s">
        <v>61</v>
      </c>
    </row>
    <row r="7" spans="1:15" ht="15" customHeight="1" x14ac:dyDescent="0.3">
      <c r="A7" s="8">
        <v>44984</v>
      </c>
      <c r="B7" s="9" t="s">
        <v>29</v>
      </c>
      <c r="C7" s="10" t="s">
        <v>30</v>
      </c>
      <c r="D7" s="30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9.2999999999999989</v>
      </c>
      <c r="E7" s="31" t="s">
        <v>63</v>
      </c>
      <c r="F7" s="31"/>
      <c r="G7" s="1"/>
      <c r="H7" s="38">
        <v>6228</v>
      </c>
      <c r="I7" s="39">
        <v>0.5</v>
      </c>
      <c r="J7" s="36">
        <f>$C$37</f>
        <v>163.00000000000003</v>
      </c>
      <c r="K7" s="1">
        <f>J7*I7</f>
        <v>81.500000000000014</v>
      </c>
      <c r="N7" s="50">
        <f>IF(OR(WEEKDAY(Table1[[#This Row],[Date]])=1,WEEKDAY(Table1[[#This Row],[Date]])=7),0,Table1[[#This Row],[Diff (hours)]])</f>
        <v>9.2999999999999989</v>
      </c>
      <c r="O7" s="51">
        <f>IF(Table1[[#This Row],[Diff (hours)]]="","OFF",IF(Table1[[#This Row],[Diff (hours)]]&lt;4,0.5,1))</f>
        <v>1</v>
      </c>
    </row>
    <row r="8" spans="1:15" x14ac:dyDescent="0.3">
      <c r="A8" s="8">
        <v>44985</v>
      </c>
      <c r="B8" s="9" t="s">
        <v>31</v>
      </c>
      <c r="C8" s="10" t="s">
        <v>32</v>
      </c>
      <c r="D8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</v>
      </c>
      <c r="E8" s="31" t="s">
        <v>64</v>
      </c>
      <c r="F8" s="31"/>
      <c r="G8" s="1"/>
      <c r="H8" s="38">
        <v>1234</v>
      </c>
      <c r="I8" s="55">
        <v>0.5</v>
      </c>
      <c r="J8" s="36">
        <f t="shared" ref="J8:J29" si="0">$C$37</f>
        <v>163.00000000000003</v>
      </c>
      <c r="K8" s="1">
        <f t="shared" ref="K8:K29" si="1">J8*I8</f>
        <v>81.500000000000014</v>
      </c>
      <c r="N8" s="50">
        <f>IF(OR(WEEKDAY(Table1[[#This Row],[Date]])=1,WEEKDAY(Table1[[#This Row],[Date]])=7),0,Table1[[#This Row],[Diff (hours)]])</f>
        <v>8</v>
      </c>
      <c r="O8" s="51">
        <f>IF(Table1[[#This Row],[Diff (hours)]]="","OFF",IF(Table1[[#This Row],[Diff (hours)]]&lt;4,0.5,1))</f>
        <v>1</v>
      </c>
    </row>
    <row r="9" spans="1:15" x14ac:dyDescent="0.3">
      <c r="A9" s="8">
        <v>44986</v>
      </c>
      <c r="B9" s="9" t="s">
        <v>33</v>
      </c>
      <c r="C9" s="10" t="s">
        <v>34</v>
      </c>
      <c r="D9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7.8</v>
      </c>
      <c r="E9" s="31" t="s">
        <v>65</v>
      </c>
      <c r="F9" s="31"/>
      <c r="G9" s="1"/>
      <c r="H9" s="38"/>
      <c r="I9" s="55">
        <v>0.8</v>
      </c>
      <c r="J9" s="36">
        <f>66.3999999999999</f>
        <v>66.399999999999906</v>
      </c>
      <c r="K9" s="1">
        <f>J9*I9</f>
        <v>53.119999999999926</v>
      </c>
      <c r="N9" s="50">
        <f>IF(OR(WEEKDAY(Table1[[#This Row],[Date]])=1,WEEKDAY(Table1[[#This Row],[Date]])=7),0,Table1[[#This Row],[Diff (hours)]])</f>
        <v>7.8</v>
      </c>
      <c r="O9" s="51">
        <f>IF(Table1[[#This Row],[Diff (hours)]]="","OFF",IF(Table1[[#This Row],[Diff (hours)]]&lt;4,0.5,1))</f>
        <v>1</v>
      </c>
    </row>
    <row r="10" spans="1:15" x14ac:dyDescent="0.3">
      <c r="A10" s="8">
        <v>44987</v>
      </c>
      <c r="B10" s="9" t="s">
        <v>26</v>
      </c>
      <c r="C10" s="10" t="s">
        <v>26</v>
      </c>
      <c r="D10" s="11" t="str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/>
      </c>
      <c r="E10" s="31"/>
      <c r="F10" s="31"/>
      <c r="G10" s="1"/>
      <c r="H10" s="38"/>
      <c r="I10" s="55"/>
      <c r="J10" s="36">
        <f t="shared" si="0"/>
        <v>163.00000000000003</v>
      </c>
      <c r="K10" s="1">
        <f t="shared" si="1"/>
        <v>0</v>
      </c>
      <c r="N10" s="50" t="str">
        <f>IF(OR(WEEKDAY(Table1[[#This Row],[Date]])=1,WEEKDAY(Table1[[#This Row],[Date]])=7),0,Table1[[#This Row],[Diff (hours)]])</f>
        <v/>
      </c>
      <c r="O10" s="51" t="str">
        <f>IF(Table1[[#This Row],[Diff (hours)]]="","OFF",IF(Table1[[#This Row],[Diff (hours)]]&lt;4,0.5,1))</f>
        <v>OFF</v>
      </c>
    </row>
    <row r="11" spans="1:15" x14ac:dyDescent="0.3">
      <c r="A11" s="8">
        <v>44988</v>
      </c>
      <c r="B11" s="9" t="s">
        <v>35</v>
      </c>
      <c r="C11" s="10" t="s">
        <v>36</v>
      </c>
      <c r="D11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8.1</v>
      </c>
      <c r="E11" s="31" t="s">
        <v>66</v>
      </c>
      <c r="F11" s="31"/>
      <c r="G11" s="1"/>
      <c r="H11" s="38"/>
      <c r="I11" s="55"/>
      <c r="J11" s="36">
        <f t="shared" si="0"/>
        <v>163.00000000000003</v>
      </c>
      <c r="K11" s="1">
        <f t="shared" si="1"/>
        <v>0</v>
      </c>
      <c r="N11" s="50">
        <f>IF(OR(WEEKDAY(Table1[[#This Row],[Date]])=1,WEEKDAY(Table1[[#This Row],[Date]])=7),0,Table1[[#This Row],[Diff (hours)]])</f>
        <v>8.1</v>
      </c>
      <c r="O11" s="51">
        <f>IF(Table1[[#This Row],[Diff (hours)]]="","OFF",IF(Table1[[#This Row],[Diff (hours)]]&lt;4,0.5,1))</f>
        <v>1</v>
      </c>
    </row>
    <row r="12" spans="1:15" x14ac:dyDescent="0.3">
      <c r="A12" s="8">
        <v>44991</v>
      </c>
      <c r="B12" s="9" t="s">
        <v>35</v>
      </c>
      <c r="C12" s="10" t="s">
        <v>37</v>
      </c>
      <c r="D12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7.8999999999999995</v>
      </c>
      <c r="E12" s="31" t="s">
        <v>67</v>
      </c>
      <c r="F12" s="31"/>
      <c r="G12" s="1"/>
      <c r="H12" s="38"/>
      <c r="I12" s="55"/>
      <c r="J12" s="36">
        <f t="shared" si="0"/>
        <v>163.00000000000003</v>
      </c>
      <c r="K12" s="1">
        <f t="shared" si="1"/>
        <v>0</v>
      </c>
      <c r="N12" s="50">
        <f>IF(OR(WEEKDAY(Table1[[#This Row],[Date]])=1,WEEKDAY(Table1[[#This Row],[Date]])=7),0,Table1[[#This Row],[Diff (hours)]])</f>
        <v>7.8999999999999995</v>
      </c>
      <c r="O12" s="51">
        <f>IF(Table1[[#This Row],[Diff (hours)]]="","OFF",IF(Table1[[#This Row],[Diff (hours)]]&lt;4,0.5,1))</f>
        <v>1</v>
      </c>
    </row>
    <row r="13" spans="1:15" x14ac:dyDescent="0.3">
      <c r="A13" s="8">
        <v>44992</v>
      </c>
      <c r="B13" s="9" t="s">
        <v>38</v>
      </c>
      <c r="C13" s="10" t="s">
        <v>39</v>
      </c>
      <c r="D13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7.8999999999999995</v>
      </c>
      <c r="E13" s="31" t="s">
        <v>67</v>
      </c>
      <c r="F13" s="31"/>
      <c r="G13" s="1"/>
      <c r="H13" s="38"/>
      <c r="I13" s="55"/>
      <c r="J13" s="36">
        <f t="shared" si="0"/>
        <v>163.00000000000003</v>
      </c>
      <c r="K13" s="1">
        <f t="shared" si="1"/>
        <v>0</v>
      </c>
      <c r="N13" s="50">
        <f>IF(OR(WEEKDAY(Table1[[#This Row],[Date]])=1,WEEKDAY(Table1[[#This Row],[Date]])=7),0,Table1[[#This Row],[Diff (hours)]])</f>
        <v>7.8999999999999995</v>
      </c>
      <c r="O13" s="51">
        <f>IF(Table1[[#This Row],[Diff (hours)]]="","OFF",IF(Table1[[#This Row],[Diff (hours)]]&lt;4,0.5,1))</f>
        <v>1</v>
      </c>
    </row>
    <row r="14" spans="1:15" x14ac:dyDescent="0.3">
      <c r="A14" s="8">
        <v>44993</v>
      </c>
      <c r="B14" s="9" t="s">
        <v>40</v>
      </c>
      <c r="C14" s="10" t="s">
        <v>41</v>
      </c>
      <c r="D14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8.4</v>
      </c>
      <c r="E14" s="31" t="s">
        <v>68</v>
      </c>
      <c r="F14" s="31"/>
      <c r="G14" s="1"/>
      <c r="H14" s="38"/>
      <c r="I14" s="55"/>
      <c r="J14" s="36">
        <f t="shared" si="0"/>
        <v>163.00000000000003</v>
      </c>
      <c r="K14" s="1">
        <f t="shared" si="1"/>
        <v>0</v>
      </c>
      <c r="N14" s="50">
        <f>IF(OR(WEEKDAY(Table1[[#This Row],[Date]])=1,WEEKDAY(Table1[[#This Row],[Date]])=7),0,Table1[[#This Row],[Diff (hours)]])</f>
        <v>8.4</v>
      </c>
      <c r="O14" s="51">
        <f>IF(Table1[[#This Row],[Diff (hours)]]="","OFF",IF(Table1[[#This Row],[Diff (hours)]]&lt;4,0.5,1))</f>
        <v>1</v>
      </c>
    </row>
    <row r="15" spans="1:15" x14ac:dyDescent="0.3">
      <c r="A15" s="8">
        <v>44994</v>
      </c>
      <c r="B15" s="9" t="s">
        <v>42</v>
      </c>
      <c r="C15" s="10" t="s">
        <v>36</v>
      </c>
      <c r="D15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8.4</v>
      </c>
      <c r="E15" s="31" t="s">
        <v>68</v>
      </c>
      <c r="F15" s="31"/>
      <c r="G15" s="1"/>
      <c r="H15" s="38"/>
      <c r="I15" s="55"/>
      <c r="J15" s="36">
        <f t="shared" si="0"/>
        <v>163.00000000000003</v>
      </c>
      <c r="K15" s="1">
        <f t="shared" si="1"/>
        <v>0</v>
      </c>
      <c r="N15" s="50">
        <f>IF(OR(WEEKDAY(Table1[[#This Row],[Date]])=1,WEEKDAY(Table1[[#This Row],[Date]])=7),0,Table1[[#This Row],[Diff (hours)]])</f>
        <v>8.4</v>
      </c>
      <c r="O15" s="51">
        <f>IF(Table1[[#This Row],[Diff (hours)]]="","OFF",IF(Table1[[#This Row],[Diff (hours)]]&lt;4,0.5,1))</f>
        <v>1</v>
      </c>
    </row>
    <row r="16" spans="1:15" x14ac:dyDescent="0.3">
      <c r="A16" s="8">
        <v>44995</v>
      </c>
      <c r="B16" s="9" t="s">
        <v>35</v>
      </c>
      <c r="C16" s="10" t="s">
        <v>43</v>
      </c>
      <c r="D16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7.8999999999999995</v>
      </c>
      <c r="E16" s="31" t="s">
        <v>67</v>
      </c>
      <c r="F16" s="31"/>
      <c r="G16" s="1"/>
      <c r="H16" s="38"/>
      <c r="I16" s="55"/>
      <c r="J16" s="36">
        <f t="shared" si="0"/>
        <v>163.00000000000003</v>
      </c>
      <c r="K16" s="1">
        <f t="shared" si="1"/>
        <v>0</v>
      </c>
      <c r="N16" s="50">
        <f>IF(OR(WEEKDAY(Table1[[#This Row],[Date]])=1,WEEKDAY(Table1[[#This Row],[Date]])=7),0,Table1[[#This Row],[Diff (hours)]])</f>
        <v>7.8999999999999995</v>
      </c>
      <c r="O16" s="51">
        <f>IF(Table1[[#This Row],[Diff (hours)]]="","OFF",IF(Table1[[#This Row],[Diff (hours)]]&lt;4,0.5,1))</f>
        <v>1</v>
      </c>
    </row>
    <row r="17" spans="1:15" x14ac:dyDescent="0.3">
      <c r="A17" s="8">
        <v>44998</v>
      </c>
      <c r="B17" s="9" t="s">
        <v>44</v>
      </c>
      <c r="C17" s="10" t="s">
        <v>45</v>
      </c>
      <c r="D17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8.4</v>
      </c>
      <c r="E17" s="31" t="s">
        <v>76</v>
      </c>
      <c r="F17" s="31"/>
      <c r="G17" s="1"/>
      <c r="H17" s="38"/>
      <c r="I17" s="55"/>
      <c r="J17" s="36">
        <f t="shared" si="0"/>
        <v>163.00000000000003</v>
      </c>
      <c r="K17" s="1">
        <f t="shared" si="1"/>
        <v>0</v>
      </c>
      <c r="N17" s="50">
        <f>IF(OR(WEEKDAY(Table1[[#This Row],[Date]])=1,WEEKDAY(Table1[[#This Row],[Date]])=7),0,Table1[[#This Row],[Diff (hours)]])</f>
        <v>8.4</v>
      </c>
      <c r="O17" s="51">
        <f>IF(Table1[[#This Row],[Diff (hours)]]="","OFF",IF(Table1[[#This Row],[Diff (hours)]]&lt;4,0.5,1))</f>
        <v>1</v>
      </c>
    </row>
    <row r="18" spans="1:15" x14ac:dyDescent="0.3">
      <c r="A18" s="8">
        <v>44999</v>
      </c>
      <c r="B18" s="9" t="s">
        <v>46</v>
      </c>
      <c r="C18" s="10" t="s">
        <v>47</v>
      </c>
      <c r="D18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8.1999999999999993</v>
      </c>
      <c r="E18" s="31" t="s">
        <v>69</v>
      </c>
      <c r="F18" s="31"/>
      <c r="G18" s="1"/>
      <c r="H18" s="38"/>
      <c r="I18" s="55"/>
      <c r="J18" s="36">
        <f t="shared" si="0"/>
        <v>163.00000000000003</v>
      </c>
      <c r="K18" s="1">
        <f t="shared" si="1"/>
        <v>0</v>
      </c>
      <c r="N18" s="50">
        <f>IF(OR(WEEKDAY(Table1[[#This Row],[Date]])=1,WEEKDAY(Table1[[#This Row],[Date]])=7),0,Table1[[#This Row],[Diff (hours)]])</f>
        <v>8.1999999999999993</v>
      </c>
      <c r="O18" s="51">
        <f>IF(Table1[[#This Row],[Diff (hours)]]="","OFF",IF(Table1[[#This Row],[Diff (hours)]]&lt;4,0.5,1))</f>
        <v>1</v>
      </c>
    </row>
    <row r="19" spans="1:15" x14ac:dyDescent="0.3">
      <c r="A19" s="8">
        <v>45000</v>
      </c>
      <c r="B19" s="9" t="s">
        <v>35</v>
      </c>
      <c r="C19" s="10" t="s">
        <v>48</v>
      </c>
      <c r="D19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8.1999999999999993</v>
      </c>
      <c r="E19" s="31" t="s">
        <v>69</v>
      </c>
      <c r="F19" s="31"/>
      <c r="G19" s="1"/>
      <c r="H19" s="38"/>
      <c r="I19" s="55"/>
      <c r="J19" s="36">
        <f t="shared" si="0"/>
        <v>163.00000000000003</v>
      </c>
      <c r="K19" s="1">
        <f t="shared" si="1"/>
        <v>0</v>
      </c>
      <c r="N19" s="50">
        <f>IF(OR(WEEKDAY(Table1[[#This Row],[Date]])=1,WEEKDAY(Table1[[#This Row],[Date]])=7),0,Table1[[#This Row],[Diff (hours)]])</f>
        <v>8.1999999999999993</v>
      </c>
      <c r="O19" s="51">
        <f>IF(Table1[[#This Row],[Diff (hours)]]="","OFF",IF(Table1[[#This Row],[Diff (hours)]]&lt;4,0.5,1))</f>
        <v>1</v>
      </c>
    </row>
    <row r="20" spans="1:15" x14ac:dyDescent="0.3">
      <c r="A20" s="8">
        <v>45001</v>
      </c>
      <c r="B20" s="9" t="s">
        <v>49</v>
      </c>
      <c r="C20" s="10" t="s">
        <v>50</v>
      </c>
      <c r="D20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8.1</v>
      </c>
      <c r="E20" s="31" t="s">
        <v>70</v>
      </c>
      <c r="F20" s="31"/>
      <c r="G20" s="1"/>
      <c r="H20" s="38"/>
      <c r="I20" s="55"/>
      <c r="J20" s="36">
        <f t="shared" si="0"/>
        <v>163.00000000000003</v>
      </c>
      <c r="K20" s="1">
        <f t="shared" si="1"/>
        <v>0</v>
      </c>
      <c r="N20" s="50">
        <f>IF(OR(WEEKDAY(Table1[[#This Row],[Date]])=1,WEEKDAY(Table1[[#This Row],[Date]])=7),0,Table1[[#This Row],[Diff (hours)]])</f>
        <v>8.1</v>
      </c>
      <c r="O20" s="51">
        <f>IF(Table1[[#This Row],[Diff (hours)]]="","OFF",IF(Table1[[#This Row],[Diff (hours)]]&lt;4,0.5,1))</f>
        <v>1</v>
      </c>
    </row>
    <row r="21" spans="1:15" x14ac:dyDescent="0.3">
      <c r="A21" s="8">
        <v>45002</v>
      </c>
      <c r="B21" s="9" t="s">
        <v>38</v>
      </c>
      <c r="C21" s="10" t="s">
        <v>51</v>
      </c>
      <c r="D21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7.8</v>
      </c>
      <c r="E21" s="31" t="s">
        <v>71</v>
      </c>
      <c r="F21" s="31"/>
      <c r="G21" s="1"/>
      <c r="H21" s="38"/>
      <c r="I21" s="55"/>
      <c r="J21" s="36">
        <f t="shared" si="0"/>
        <v>163.00000000000003</v>
      </c>
      <c r="K21" s="1">
        <f t="shared" si="1"/>
        <v>0</v>
      </c>
      <c r="N21" s="50">
        <f>IF(OR(WEEKDAY(Table1[[#This Row],[Date]])=1,WEEKDAY(Table1[[#This Row],[Date]])=7),0,Table1[[#This Row],[Diff (hours)]])</f>
        <v>7.8</v>
      </c>
      <c r="O21" s="51">
        <f>IF(Table1[[#This Row],[Diff (hours)]]="","OFF",IF(Table1[[#This Row],[Diff (hours)]]&lt;4,0.5,1))</f>
        <v>1</v>
      </c>
    </row>
    <row r="22" spans="1:15" x14ac:dyDescent="0.3">
      <c r="A22" s="8">
        <v>45005</v>
      </c>
      <c r="B22" s="9" t="s">
        <v>33</v>
      </c>
      <c r="C22" s="10" t="s">
        <v>52</v>
      </c>
      <c r="D22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8.1999999999999993</v>
      </c>
      <c r="E22" s="31" t="s">
        <v>69</v>
      </c>
      <c r="F22" s="31"/>
      <c r="G22" s="1"/>
      <c r="H22" s="38"/>
      <c r="I22" s="55"/>
      <c r="J22" s="36">
        <f t="shared" si="0"/>
        <v>163.00000000000003</v>
      </c>
      <c r="K22" s="1">
        <f t="shared" si="1"/>
        <v>0</v>
      </c>
      <c r="N22" s="50">
        <f>IF(OR(WEEKDAY(Table1[[#This Row],[Date]])=1,WEEKDAY(Table1[[#This Row],[Date]])=7),0,Table1[[#This Row],[Diff (hours)]])</f>
        <v>8.1999999999999993</v>
      </c>
      <c r="O22" s="51">
        <f>IF(Table1[[#This Row],[Diff (hours)]]="","OFF",IF(Table1[[#This Row],[Diff (hours)]]&lt;4,0.5,1))</f>
        <v>1</v>
      </c>
    </row>
    <row r="23" spans="1:15" x14ac:dyDescent="0.3">
      <c r="A23" s="8">
        <v>45006</v>
      </c>
      <c r="B23" s="9" t="s">
        <v>53</v>
      </c>
      <c r="C23" s="10" t="s">
        <v>54</v>
      </c>
      <c r="D23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</v>
      </c>
      <c r="E23" s="31" t="s">
        <v>72</v>
      </c>
      <c r="F23" s="31"/>
      <c r="G23" s="1"/>
      <c r="H23" s="38"/>
      <c r="I23" s="55"/>
      <c r="J23" s="36">
        <f t="shared" si="0"/>
        <v>163.00000000000003</v>
      </c>
      <c r="K23" s="1">
        <f t="shared" si="1"/>
        <v>0</v>
      </c>
      <c r="N23" s="50">
        <f>IF(OR(WEEKDAY(Table1[[#This Row],[Date]])=1,WEEKDAY(Table1[[#This Row],[Date]])=7),0,Table1[[#This Row],[Diff (hours)]])</f>
        <v>8</v>
      </c>
      <c r="O23" s="51">
        <f>IF(Table1[[#This Row],[Diff (hours)]]="","OFF",IF(Table1[[#This Row],[Diff (hours)]]&lt;4,0.5,1))</f>
        <v>1</v>
      </c>
    </row>
    <row r="24" spans="1:15" x14ac:dyDescent="0.3">
      <c r="A24" s="8">
        <v>45007</v>
      </c>
      <c r="B24" s="1" t="s">
        <v>55</v>
      </c>
      <c r="C24" s="10" t="s">
        <v>56</v>
      </c>
      <c r="D24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8.7999999999999989</v>
      </c>
      <c r="E24" s="31" t="s">
        <v>73</v>
      </c>
      <c r="F24" s="31"/>
      <c r="G24" s="1"/>
      <c r="H24" s="38"/>
      <c r="I24" s="55"/>
      <c r="J24" s="36">
        <f t="shared" si="0"/>
        <v>163.00000000000003</v>
      </c>
      <c r="K24" s="1">
        <f t="shared" si="1"/>
        <v>0</v>
      </c>
      <c r="N24" s="50">
        <f>IF(OR(WEEKDAY(Table1[[#This Row],[Date]])=1,WEEKDAY(Table1[[#This Row],[Date]])=7),0,Table1[[#This Row],[Diff (hours)]])</f>
        <v>8.7999999999999989</v>
      </c>
      <c r="O24" s="51">
        <f>IF(Table1[[#This Row],[Diff (hours)]]="","OFF",IF(Table1[[#This Row],[Diff (hours)]]&lt;4,0.5,1))</f>
        <v>1</v>
      </c>
    </row>
    <row r="25" spans="1:15" x14ac:dyDescent="0.3">
      <c r="A25" s="8">
        <v>45008</v>
      </c>
      <c r="B25" s="1" t="s">
        <v>57</v>
      </c>
      <c r="C25" s="10" t="s">
        <v>58</v>
      </c>
      <c r="D25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7.3999999999999995</v>
      </c>
      <c r="E25" s="31" t="s">
        <v>74</v>
      </c>
      <c r="F25" s="31"/>
      <c r="G25" s="1"/>
      <c r="H25" s="38"/>
      <c r="I25" s="55"/>
      <c r="J25" s="36">
        <f t="shared" si="0"/>
        <v>163.00000000000003</v>
      </c>
      <c r="K25" s="1">
        <f t="shared" si="1"/>
        <v>0</v>
      </c>
      <c r="N25" s="50">
        <f>IF(OR(WEEKDAY(Table1[[#This Row],[Date]])=1,WEEKDAY(Table1[[#This Row],[Date]])=7),0,Table1[[#This Row],[Diff (hours)]])</f>
        <v>7.3999999999999995</v>
      </c>
      <c r="O25" s="51">
        <f>IF(Table1[[#This Row],[Diff (hours)]]="","OFF",IF(Table1[[#This Row],[Diff (hours)]]&lt;4,0.5,1))</f>
        <v>1</v>
      </c>
    </row>
    <row r="26" spans="1:15" x14ac:dyDescent="0.3">
      <c r="A26" s="8">
        <v>45009</v>
      </c>
      <c r="B26" s="1" t="s">
        <v>35</v>
      </c>
      <c r="C26" s="10" t="s">
        <v>59</v>
      </c>
      <c r="D26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8.1</v>
      </c>
      <c r="E26" s="31" t="s">
        <v>70</v>
      </c>
      <c r="F26" s="31"/>
      <c r="G26" s="1"/>
      <c r="H26" s="38"/>
      <c r="I26" s="55"/>
      <c r="J26" s="36">
        <f t="shared" si="0"/>
        <v>163.00000000000003</v>
      </c>
      <c r="K26" s="1">
        <f t="shared" si="1"/>
        <v>0</v>
      </c>
      <c r="N26" s="50">
        <f>IF(OR(WEEKDAY(Table1[[#This Row],[Date]])=1,WEEKDAY(Table1[[#This Row],[Date]])=7),0,Table1[[#This Row],[Diff (hours)]])</f>
        <v>8.1</v>
      </c>
      <c r="O26" s="51">
        <f>IF(Table1[[#This Row],[Diff (hours)]]="","OFF",IF(Table1[[#This Row],[Diff (hours)]]&lt;4,0.5,1))</f>
        <v>1</v>
      </c>
    </row>
    <row r="27" spans="1:15" x14ac:dyDescent="0.3">
      <c r="A27" s="8">
        <v>45039</v>
      </c>
      <c r="B27" s="1" t="s">
        <v>35</v>
      </c>
      <c r="C27" s="10" t="s">
        <v>59</v>
      </c>
      <c r="D27" s="11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>8.1</v>
      </c>
      <c r="E27" s="31" t="s">
        <v>75</v>
      </c>
      <c r="F27" s="31"/>
      <c r="G27" s="1"/>
      <c r="H27" s="38"/>
      <c r="I27" s="55"/>
      <c r="J27" s="36">
        <f t="shared" si="0"/>
        <v>163.00000000000003</v>
      </c>
      <c r="K27" s="1">
        <f t="shared" si="1"/>
        <v>0</v>
      </c>
      <c r="N27" s="50">
        <f>IF(OR(WEEKDAY(Table1[[#This Row],[Date]])=1,WEEKDAY(Table1[[#This Row],[Date]])=7),0,Table1[[#This Row],[Diff (hours)]])</f>
        <v>0</v>
      </c>
      <c r="O27" s="51">
        <f>IF(Table1[[#This Row],[Diff (hours)]]="","OFF",IF(Table1[[#This Row],[Diff (hours)]]&lt;4,0.5,1))</f>
        <v>1</v>
      </c>
    </row>
    <row r="28" spans="1:15" x14ac:dyDescent="0.3">
      <c r="A28" s="8"/>
      <c r="C28" s="10"/>
      <c r="D28" s="11" t="str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/>
      </c>
      <c r="E28" s="31"/>
      <c r="F28" s="31"/>
      <c r="G28" s="1"/>
      <c r="H28" s="38"/>
      <c r="I28" s="55"/>
      <c r="J28" s="36">
        <f t="shared" si="0"/>
        <v>163.00000000000003</v>
      </c>
      <c r="K28" s="1">
        <f t="shared" si="1"/>
        <v>0</v>
      </c>
      <c r="N28" s="50">
        <f>IF(OR(WEEKDAY(Table1[[#This Row],[Date]])=1,WEEKDAY(Table1[[#This Row],[Date]])=7),0,Table1[[#This Row],[Diff (hours)]])</f>
        <v>0</v>
      </c>
      <c r="O28" s="51" t="str">
        <f>IF(Table1[[#This Row],[Diff (hours)]]="","OFF",IF(Table1[[#This Row],[Diff (hours)]]&lt;4,0.5,1))</f>
        <v>OFF</v>
      </c>
    </row>
    <row r="29" spans="1:15" x14ac:dyDescent="0.3">
      <c r="D29" s="11" t="str">
        <f>IF(Table1[[#This Row],[Start Time]]="","",IF(Table1[[#This Row],[Start Time]]="Funerals","",IF(Table1[[#This Row],[End Time]]="","",IF(Table1[[#This Row],[Start Time]]="Sick","",IF(Table1[[#This Row],[End Time]]="Sick","",IF(Table1[[#This Row],[Start Time]]="OFF","",IF(Table1[[#This Row],[End Time]]="OFF","",IF(Table1[[#This Row],[Start Time]]="Holiday","",IF(Table1[[#This Row],[End Time]]="Holiday","",IF(Table1[[#This Row],[Start Time]]="training","",IF(Table1[[#This Row],[Start Time]]="seminar","",ROUNDUP((Table1[[#This Row],[End Time]]-Table1[[#This Row],[Start Time]])*24,1))))))))))))</f>
        <v/>
      </c>
      <c r="E29" s="31"/>
      <c r="F29" s="31"/>
      <c r="G29" s="1"/>
      <c r="H29" s="38"/>
      <c r="I29" s="55"/>
      <c r="J29" s="36">
        <f t="shared" si="0"/>
        <v>163.00000000000003</v>
      </c>
      <c r="K29" s="1">
        <f t="shared" si="1"/>
        <v>0</v>
      </c>
      <c r="N29" s="50">
        <f>IF(OR(WEEKDAY(Table1[[#This Row],[Date]])=1,WEEKDAY(Table1[[#This Row],[Date]])=7),0,Table1[[#This Row],[Diff (hours)]])</f>
        <v>0</v>
      </c>
      <c r="O29" s="51" t="str">
        <f>IF(Table1[[#This Row],[Diff (hours)]]="","OFF",IF(Table1[[#This Row],[Diff (hours)]]&lt;4,0.5,1))</f>
        <v>OFF</v>
      </c>
    </row>
    <row r="30" spans="1:15" x14ac:dyDescent="0.3">
      <c r="G30" s="1"/>
      <c r="H30" s="38"/>
      <c r="O30"/>
    </row>
    <row r="31" spans="1:15" x14ac:dyDescent="0.3">
      <c r="G31" s="1"/>
      <c r="H31" s="38"/>
      <c r="O31"/>
    </row>
    <row r="32" spans="1:15" x14ac:dyDescent="0.3">
      <c r="G32" s="1"/>
      <c r="H32" s="38"/>
    </row>
    <row r="33" spans="1:8" x14ac:dyDescent="0.3">
      <c r="G33" s="1"/>
      <c r="H33" s="38"/>
    </row>
    <row r="34" spans="1:8" x14ac:dyDescent="0.3">
      <c r="G34" s="1"/>
      <c r="H34" s="38"/>
    </row>
    <row r="35" spans="1:8" x14ac:dyDescent="0.3">
      <c r="G35" s="1"/>
      <c r="H35" s="38"/>
    </row>
    <row r="36" spans="1:8" ht="16.2" thickBot="1" x14ac:dyDescent="0.35">
      <c r="A36" s="13" t="s">
        <v>11</v>
      </c>
      <c r="B36" s="14"/>
      <c r="E36" s="15"/>
      <c r="F36" s="15"/>
    </row>
    <row r="37" spans="1:8" ht="16.2" thickBot="1" x14ac:dyDescent="0.35">
      <c r="A37" s="16">
        <f>COUNT(Table1[Date])</f>
        <v>21</v>
      </c>
      <c r="B37" s="17" t="s">
        <v>12</v>
      </c>
      <c r="C37" s="56">
        <f>SUM(D7:D29)</f>
        <v>163.00000000000003</v>
      </c>
      <c r="D37" s="17" t="s">
        <v>9</v>
      </c>
    </row>
    <row r="38" spans="1:8" ht="16.2" thickBot="1" x14ac:dyDescent="0.35">
      <c r="A38" s="16">
        <f>COUNTIF(Table1[Start Time],"Sick")</f>
        <v>0</v>
      </c>
      <c r="B38" s="17" t="s">
        <v>13</v>
      </c>
      <c r="C38" s="57">
        <f>COUNTIF(N7:N31,"&gt;1")</f>
        <v>19</v>
      </c>
      <c r="D38" s="18" t="s">
        <v>14</v>
      </c>
    </row>
    <row r="39" spans="1:8" ht="16.2" thickBot="1" x14ac:dyDescent="0.35">
      <c r="A39" s="16">
        <f>COUNTIF(Table1[Start Time],"Holiday")</f>
        <v>0</v>
      </c>
      <c r="B39" s="19" t="s">
        <v>15</v>
      </c>
      <c r="C39" s="54">
        <f>SUM(O7:O29)</f>
        <v>20</v>
      </c>
      <c r="D39" s="46" t="s">
        <v>60</v>
      </c>
      <c r="G39" s="15"/>
      <c r="H39" s="60"/>
    </row>
    <row r="40" spans="1:8" ht="15" thickBot="1" x14ac:dyDescent="0.35">
      <c r="A40" s="16">
        <f>COUNTIF(Table1[Start Time],"OFF")</f>
        <v>1</v>
      </c>
      <c r="B40" s="19" t="s">
        <v>16</v>
      </c>
    </row>
    <row r="41" spans="1:8" ht="15" thickBot="1" x14ac:dyDescent="0.35">
      <c r="A41" s="16">
        <f>COUNTIF(Table1[Start Time],"training")</f>
        <v>0</v>
      </c>
      <c r="B41" s="19" t="s">
        <v>17</v>
      </c>
    </row>
    <row r="42" spans="1:8" ht="16.2" thickBot="1" x14ac:dyDescent="0.35">
      <c r="A42" s="20">
        <f>COUNTIF(Table1[Start Time],"seminar")</f>
        <v>0</v>
      </c>
      <c r="B42" s="21" t="s">
        <v>18</v>
      </c>
      <c r="C42" s="32">
        <f>C38*8</f>
        <v>152</v>
      </c>
      <c r="D42" s="33" t="s">
        <v>19</v>
      </c>
    </row>
    <row r="43" spans="1:8" ht="16.2" thickBot="1" x14ac:dyDescent="0.35">
      <c r="A43" s="20">
        <f>COUNTIF(Table1[Start Time],"Funerals")</f>
        <v>0</v>
      </c>
      <c r="B43" s="21" t="s">
        <v>20</v>
      </c>
      <c r="C43" s="34">
        <f>C37-C42</f>
        <v>11.000000000000028</v>
      </c>
      <c r="D43" s="33" t="s">
        <v>21</v>
      </c>
    </row>
    <row r="44" spans="1:8" x14ac:dyDescent="0.3">
      <c r="A44" s="22"/>
      <c r="B44" s="23"/>
    </row>
    <row r="45" spans="1:8" x14ac:dyDescent="0.3">
      <c r="A45" s="24" t="s">
        <v>22</v>
      </c>
      <c r="B45" s="23"/>
      <c r="C45" s="23"/>
      <c r="D45" s="24" t="s">
        <v>23</v>
      </c>
      <c r="E45" s="25"/>
      <c r="F45" s="25"/>
    </row>
    <row r="48" spans="1:8" s="23" customFormat="1" x14ac:dyDescent="0.3">
      <c r="A48" s="11"/>
      <c r="B48" s="1"/>
      <c r="C48" s="11"/>
      <c r="D48" s="11"/>
      <c r="E48" s="12"/>
      <c r="F48" s="12"/>
      <c r="G48" s="25"/>
      <c r="H48" s="61"/>
    </row>
  </sheetData>
  <mergeCells count="3">
    <mergeCell ref="E5:G5"/>
    <mergeCell ref="A1:B3"/>
    <mergeCell ref="A4:B4"/>
  </mergeCells>
  <phoneticPr fontId="10" type="noConversion"/>
  <pageMargins left="0.2" right="0.2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ulation">
                <anchor moveWithCells="1" sizeWithCells="1">
                  <from>
                    <xdr:col>12</xdr:col>
                    <xdr:colOff>60960</xdr:colOff>
                    <xdr:row>2</xdr:row>
                    <xdr:rowOff>121920</xdr:rowOff>
                  </from>
                  <to>
                    <xdr:col>12</xdr:col>
                    <xdr:colOff>1028700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9c9ee60-8e10-4973-8157-7b0013e602b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D7D6AE0C54F54C900AA18656D2B94F" ma:contentTypeVersion="13" ma:contentTypeDescription="Create a new document." ma:contentTypeScope="" ma:versionID="7c0a5576a18f21ae0ea276295db771e7">
  <xsd:schema xmlns:xsd="http://www.w3.org/2001/XMLSchema" xmlns:xs="http://www.w3.org/2001/XMLSchema" xmlns:p="http://schemas.microsoft.com/office/2006/metadata/properties" xmlns:ns3="59c9ee60-8e10-4973-8157-7b0013e602b2" xmlns:ns4="1ed69a5c-b77a-4a39-9ec9-03a4cc35d73b" targetNamespace="http://schemas.microsoft.com/office/2006/metadata/properties" ma:root="true" ma:fieldsID="951ac967bc786d5c0784da52fe0a65a2" ns3:_="" ns4:_="">
    <xsd:import namespace="59c9ee60-8e10-4973-8157-7b0013e602b2"/>
    <xsd:import namespace="1ed69a5c-b77a-4a39-9ec9-03a4cc35d73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c9ee60-8e10-4973-8157-7b0013e602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69a5c-b77a-4a39-9ec9-03a4cc35d73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007AAB9-A362-4E79-8DC5-B2C51E2938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97AD24C-8E0C-4B36-91FF-32F863246175}">
  <ds:schemaRefs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59c9ee60-8e10-4973-8157-7b0013e602b2"/>
    <ds:schemaRef ds:uri="http://schemas.microsoft.com/office/2006/metadata/properties"/>
    <ds:schemaRef ds:uri="http://schemas.openxmlformats.org/package/2006/metadata/core-properties"/>
    <ds:schemaRef ds:uri="1ed69a5c-b77a-4a39-9ec9-03a4cc35d73b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B727E57-9780-4EF9-8583-8506C0E51A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c9ee60-8e10-4973-8157-7b0013e602b2"/>
    <ds:schemaRef ds:uri="1ed69a5c-b77a-4a39-9ec9-03a4cc35d7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Frederic Bejjani</dc:creator>
  <cp:keywords/>
  <dc:description/>
  <cp:lastModifiedBy>Rami</cp:lastModifiedBy>
  <cp:revision/>
  <cp:lastPrinted>2023-03-20T12:06:42Z</cp:lastPrinted>
  <dcterms:created xsi:type="dcterms:W3CDTF">2015-07-09T14:23:30Z</dcterms:created>
  <dcterms:modified xsi:type="dcterms:W3CDTF">2023-05-21T19:41:55Z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0x01010055D7D6AE0C54F54C900AA18656D2B94F</vt:lpwstr>
  </property>
</Properties>
</file>